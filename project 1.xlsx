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ifra uni\ifra_quan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4" i="1"/>
  <c r="H10" i="1"/>
  <c r="H11" i="1"/>
  <c r="H12" i="1"/>
  <c r="H9" i="1"/>
  <c r="H8" i="1"/>
  <c r="B17" i="1"/>
  <c r="F17" i="1"/>
  <c r="G15" i="1"/>
  <c r="G14" i="1"/>
  <c r="G9" i="1"/>
  <c r="G10" i="1"/>
  <c r="G11" i="1"/>
  <c r="G12" i="1"/>
  <c r="G8" i="1"/>
  <c r="F8" i="1"/>
  <c r="F9" i="1"/>
  <c r="F10" i="1"/>
  <c r="F11" i="1"/>
  <c r="F12" i="1"/>
  <c r="E9" i="1"/>
  <c r="E10" i="1"/>
  <c r="E11" i="1"/>
  <c r="E12" i="1"/>
  <c r="E8" i="1"/>
  <c r="C15" i="1"/>
  <c r="B15" i="1"/>
  <c r="C14" i="1"/>
  <c r="B14" i="1"/>
  <c r="C9" i="1"/>
  <c r="C10" i="1"/>
  <c r="C11" i="1"/>
  <c r="C12" i="1"/>
  <c r="C8" i="1"/>
  <c r="F14" i="1" l="1"/>
  <c r="F15" i="1" s="1"/>
  <c r="E14" i="1"/>
  <c r="E15" i="1" s="1"/>
</calcChain>
</file>

<file path=xl/sharedStrings.xml><?xml version="1.0" encoding="utf-8"?>
<sst xmlns="http://schemas.openxmlformats.org/spreadsheetml/2006/main" count="15" uniqueCount="15">
  <si>
    <t>Period</t>
  </si>
  <si>
    <t>Future Cashflows</t>
  </si>
  <si>
    <t>PV at IRR</t>
  </si>
  <si>
    <t>Interest Rate:</t>
  </si>
  <si>
    <t>Investment:</t>
  </si>
  <si>
    <t>Total</t>
  </si>
  <si>
    <t>NPV</t>
  </si>
  <si>
    <t>PV at 7%</t>
  </si>
  <si>
    <t>PV at 11%</t>
  </si>
  <si>
    <t>PV at 13%</t>
  </si>
  <si>
    <t>PV at 14%</t>
  </si>
  <si>
    <t>IRR</t>
  </si>
  <si>
    <t>NPV:</t>
  </si>
  <si>
    <t>NPV Calculator</t>
  </si>
  <si>
    <t>IRR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</si>
</sst>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 applyBorder="1"/>
    <xf numFmtId="44" fontId="0" fillId="0" borderId="1" xfId="1" applyFont="1" applyBorder="1"/>
    <xf numFmtId="0" fontId="0" fillId="3" borderId="1" xfId="0" applyFill="1" applyBorder="1"/>
    <xf numFmtId="44" fontId="0" fillId="4" borderId="1" xfId="1" applyFont="1" applyFill="1" applyBorder="1"/>
    <xf numFmtId="9" fontId="0" fillId="4" borderId="1" xfId="2" applyFont="1" applyFill="1" applyBorder="1"/>
    <xf numFmtId="164" fontId="0" fillId="0" borderId="2" xfId="0" applyNumberFormat="1" applyBorder="1"/>
    <xf numFmtId="44" fontId="0" fillId="0" borderId="2" xfId="1" applyFont="1" applyBorder="1"/>
    <xf numFmtId="44" fontId="0" fillId="0" borderId="3" xfId="0" applyNumberFormat="1" applyBorder="1"/>
    <xf numFmtId="0" fontId="0" fillId="2" borderId="2" xfId="0" applyFill="1" applyBorder="1"/>
    <xf numFmtId="0" fontId="0" fillId="2" borderId="3" xfId="0" applyFill="1" applyBorder="1"/>
    <xf numFmtId="44" fontId="0" fillId="5" borderId="3" xfId="0" applyNumberFormat="1" applyFill="1" applyBorder="1"/>
    <xf numFmtId="0" fontId="0" fillId="7" borderId="4" xfId="0" applyFill="1" applyBorder="1"/>
    <xf numFmtId="2" fontId="0" fillId="7" borderId="5" xfId="0" applyNumberFormat="1" applyFill="1" applyBorder="1"/>
    <xf numFmtId="44" fontId="0" fillId="7" borderId="5" xfId="0" applyNumberFormat="1" applyFill="1" applyBorder="1"/>
    <xf numFmtId="0" fontId="2" fillId="6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P7" sqref="P7"/>
    </sheetView>
  </sheetViews>
  <sheetFormatPr defaultRowHeight="15" x14ac:dyDescent="0.25"/>
  <cols>
    <col min="1" max="1" width="13.140625" bestFit="1" customWidth="1"/>
    <col min="2" max="2" width="11.5703125" bestFit="1" customWidth="1"/>
    <col min="3" max="3" width="10.5703125" bestFit="1" customWidth="1"/>
    <col min="4" max="4" width="10.5703125" customWidth="1"/>
    <col min="5" max="5" width="10.5703125" bestFit="1" customWidth="1"/>
    <col min="6" max="6" width="10.42578125" customWidth="1"/>
    <col min="7" max="8" width="11.5703125" bestFit="1" customWidth="1"/>
  </cols>
  <sheetData>
    <row r="1" spans="1:8" ht="18.75" x14ac:dyDescent="0.4">
      <c r="A1" s="23" t="s">
        <v>13</v>
      </c>
      <c r="B1" s="23"/>
      <c r="C1" s="23"/>
      <c r="E1" s="23" t="s">
        <v>14</v>
      </c>
      <c r="F1" s="23"/>
      <c r="G1" s="23"/>
      <c r="H1" s="23"/>
    </row>
    <row r="4" spans="1:8" x14ac:dyDescent="0.25">
      <c r="A4" s="11" t="s">
        <v>4</v>
      </c>
      <c r="B4" s="12">
        <v>18000</v>
      </c>
    </row>
    <row r="5" spans="1:8" x14ac:dyDescent="0.25">
      <c r="A5" s="11" t="s">
        <v>3</v>
      </c>
      <c r="B5" s="13">
        <v>7.0000000000000007E-2</v>
      </c>
    </row>
    <row r="7" spans="1:8" ht="30" x14ac:dyDescent="0.25">
      <c r="A7" s="1" t="s">
        <v>0</v>
      </c>
      <c r="B7" s="2" t="s">
        <v>1</v>
      </c>
      <c r="C7" s="1" t="s">
        <v>7</v>
      </c>
      <c r="E7" s="1" t="s">
        <v>8</v>
      </c>
      <c r="F7" s="1" t="s">
        <v>9</v>
      </c>
      <c r="G7" s="1" t="s">
        <v>10</v>
      </c>
      <c r="H7" s="1" t="s">
        <v>2</v>
      </c>
    </row>
    <row r="8" spans="1:8" x14ac:dyDescent="0.25">
      <c r="A8" s="3">
        <v>1</v>
      </c>
      <c r="B8" s="4">
        <v>450</v>
      </c>
      <c r="C8" s="5">
        <f>B8/(1+$B$5)^A8</f>
        <v>420.56074766355135</v>
      </c>
      <c r="D8" s="9"/>
      <c r="E8" s="5">
        <f>B8/(1+0.11)^A8</f>
        <v>405.40540540540536</v>
      </c>
      <c r="F8" s="5">
        <f>B8/(1+0.13)^A8</f>
        <v>398.23008849557527</v>
      </c>
      <c r="G8" s="10">
        <f>B8/(1+0.14)^A8</f>
        <v>394.73684210526312</v>
      </c>
      <c r="H8" s="10">
        <f>B8/(1+0.1305)^A8</f>
        <v>398.05395842547546</v>
      </c>
    </row>
    <row r="9" spans="1:8" x14ac:dyDescent="0.25">
      <c r="A9" s="3">
        <v>2</v>
      </c>
      <c r="B9" s="4">
        <v>1000</v>
      </c>
      <c r="C9" s="5">
        <f t="shared" ref="C9:C12" si="0">B9/(1+$B$5)^A9</f>
        <v>873.43872827321161</v>
      </c>
      <c r="D9" s="9"/>
      <c r="E9" s="5">
        <f t="shared" ref="E9:E12" si="1">B9/(1+0.11)^A9</f>
        <v>811.62243324405472</v>
      </c>
      <c r="F9" s="5">
        <f>B9/(1+0.13)^A9</f>
        <v>783.14668337379612</v>
      </c>
      <c r="G9" s="10">
        <f t="shared" ref="G9:G12" si="2">B9/(1+0.14)^A9</f>
        <v>769.46752847029836</v>
      </c>
      <c r="H9" s="10">
        <f>B9/(1+0.1305)^A9</f>
        <v>782.45409292933402</v>
      </c>
    </row>
    <row r="10" spans="1:8" x14ac:dyDescent="0.25">
      <c r="A10" s="3">
        <v>3</v>
      </c>
      <c r="B10" s="4">
        <v>6000</v>
      </c>
      <c r="C10" s="5">
        <f t="shared" si="0"/>
        <v>4897.7872613451118</v>
      </c>
      <c r="D10" s="9"/>
      <c r="E10" s="5">
        <f t="shared" si="1"/>
        <v>4387.1482878057013</v>
      </c>
      <c r="F10" s="5">
        <f t="shared" ref="F10:F12" si="3">B10/(1+0.13)^A10</f>
        <v>4158.3009736661743</v>
      </c>
      <c r="G10" s="10">
        <f t="shared" si="2"/>
        <v>4049.8290972120967</v>
      </c>
      <c r="H10" s="10">
        <f t="shared" ref="H10:H12" si="4">B10/(1+0.1305)^A10</f>
        <v>4152.7859863564827</v>
      </c>
    </row>
    <row r="11" spans="1:8" x14ac:dyDescent="0.25">
      <c r="A11" s="3">
        <v>4</v>
      </c>
      <c r="B11" s="4">
        <v>9500</v>
      </c>
      <c r="C11" s="5">
        <f t="shared" si="0"/>
        <v>7247.5045144514897</v>
      </c>
      <c r="D11" s="9"/>
      <c r="E11" s="5">
        <f t="shared" si="1"/>
        <v>6257.9442543775012</v>
      </c>
      <c r="F11" s="5">
        <f t="shared" si="3"/>
        <v>5826.5279129540795</v>
      </c>
      <c r="G11" s="10">
        <f t="shared" si="2"/>
        <v>5624.7626350167993</v>
      </c>
      <c r="H11" s="10">
        <f t="shared" si="4"/>
        <v>5816.2268716477356</v>
      </c>
    </row>
    <row r="12" spans="1:8" x14ac:dyDescent="0.25">
      <c r="A12" s="3">
        <v>5</v>
      </c>
      <c r="B12" s="4">
        <v>12650</v>
      </c>
      <c r="C12" s="5">
        <f t="shared" si="0"/>
        <v>9019.2751704684051</v>
      </c>
      <c r="D12" s="9"/>
      <c r="E12" s="5">
        <f t="shared" si="1"/>
        <v>7507.1592999407667</v>
      </c>
      <c r="F12" s="5">
        <f t="shared" si="3"/>
        <v>6865.9131903930247</v>
      </c>
      <c r="G12" s="10">
        <f t="shared" si="2"/>
        <v>6570.0136041516625</v>
      </c>
      <c r="H12" s="10">
        <f t="shared" si="4"/>
        <v>6850.7432599775466</v>
      </c>
    </row>
    <row r="13" spans="1:8" x14ac:dyDescent="0.25">
      <c r="G13" s="7"/>
      <c r="H13" s="7"/>
    </row>
    <row r="14" spans="1:8" x14ac:dyDescent="0.25">
      <c r="A14" s="17" t="s">
        <v>5</v>
      </c>
      <c r="B14" s="14">
        <f>SUM(B8:B13)</f>
        <v>29600</v>
      </c>
      <c r="C14" s="14">
        <f>SUM(C8:C13)</f>
        <v>22458.566422201769</v>
      </c>
      <c r="D14" s="6"/>
      <c r="E14" s="14">
        <f>SUM(E8:E12)</f>
        <v>19369.27968077343</v>
      </c>
      <c r="F14" s="14">
        <f>SUM(F8:F12)</f>
        <v>18032.118848882652</v>
      </c>
      <c r="G14" s="15">
        <f>SUM(G8:G12)</f>
        <v>17408.809706956119</v>
      </c>
      <c r="H14" s="15">
        <f>SUM(H8:H12)</f>
        <v>18000.264169336573</v>
      </c>
    </row>
    <row r="15" spans="1:8" ht="15.75" thickBot="1" x14ac:dyDescent="0.3">
      <c r="A15" s="18" t="s">
        <v>6</v>
      </c>
      <c r="B15" s="16">
        <f>B14-B4</f>
        <v>11600</v>
      </c>
      <c r="C15" s="19">
        <f>C14-B4</f>
        <v>4458.5664222017695</v>
      </c>
      <c r="D15" s="8"/>
      <c r="E15" s="16">
        <f>E14-B4</f>
        <v>1369.2796807734303</v>
      </c>
      <c r="F15" s="16">
        <f>F14-B4</f>
        <v>32.118848882651946</v>
      </c>
      <c r="G15" s="16">
        <f>G14-B4</f>
        <v>-591.19029304388096</v>
      </c>
      <c r="H15" s="16">
        <f>H14-B4</f>
        <v>0.26416933657310437</v>
      </c>
    </row>
    <row r="16" spans="1:8" ht="16.5" thickTop="1" thickBot="1" x14ac:dyDescent="0.3"/>
    <row r="17" spans="1:6" ht="15.75" thickBot="1" x14ac:dyDescent="0.3">
      <c r="A17" s="20" t="s">
        <v>12</v>
      </c>
      <c r="B17" s="22">
        <f>C15</f>
        <v>4458.5664222017695</v>
      </c>
      <c r="E17" s="20" t="s">
        <v>11</v>
      </c>
      <c r="F17" s="21">
        <f>13 + (F15/(F15-G15))*(14-13)</f>
        <v>13.05152956490158</v>
      </c>
    </row>
  </sheetData>
  <mergeCells count="2">
    <mergeCell ref="A1:C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2026-04-14T06:21:52Z</dcterms:created>
  <dcterms:modified xsi:type="dcterms:W3CDTF">2026-04-16T06:07:20Z</dcterms:modified>
</cp:coreProperties>
</file>